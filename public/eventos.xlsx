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lyson.Oliveira\Documents\"/>
    </mc:Choice>
  </mc:AlternateContent>
  <xr:revisionPtr revIDLastSave="0" documentId="13_ncr:1_{E3796A18-1BB1-4E8A-ABB1-4255E402BDBF}" xr6:coauthVersionLast="47" xr6:coauthVersionMax="47" xr10:uidLastSave="{00000000-0000-0000-0000-000000000000}"/>
  <bookViews>
    <workbookView xWindow="-120" yWindow="-120" windowWidth="20730" windowHeight="11040" xr2:uid="{04328F8C-92B3-4017-9C62-E39106FBA340}"/>
  </bookViews>
  <sheets>
    <sheet name="Planilha1" sheetId="1" r:id="rId1"/>
  </sheets>
  <externalReferences>
    <externalReference r:id="rId2"/>
  </externalReferences>
  <definedNames>
    <definedName name="_xlnm._FilterDatabase" localSheetId="0" hidden="1">Planilha1!$A$1:$AB$1</definedName>
    <definedName name="Lista_Setor">OFFSET([1]Cadastros!$B$6,0,0,COUNTA([1]Cadastros!$B$6:$B$25),1)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 i="1" l="1"/>
  <c r="A18" i="1" s="1"/>
  <c r="A19" i="1" s="1"/>
  <c r="A20" i="1" s="1"/>
  <c r="A21" i="1" s="1"/>
  <c r="A22" i="1" s="1"/>
  <c r="A23" i="1" s="1"/>
  <c r="A24" i="1" s="1"/>
  <c r="A25" i="1" s="1"/>
  <c r="A26" i="1" s="1"/>
  <c r="A27" i="1" s="1"/>
  <c r="A28" i="1" s="1"/>
  <c r="A29" i="1" s="1"/>
  <c r="A30" i="1" s="1"/>
  <c r="A31" i="1" s="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A3" i="1" l="1"/>
  <c r="A4" i="1" s="1"/>
  <c r="A5" i="1" l="1"/>
  <c r="A6" i="1" s="1"/>
  <c r="A7" i="1" s="1"/>
  <c r="A8" i="1"/>
  <c r="A9" i="1" s="1"/>
  <c r="A10" i="1" s="1"/>
  <c r="A11" i="1" s="1"/>
  <c r="A12" i="1" s="1"/>
  <c r="A13" i="1" s="1"/>
  <c r="A14" i="1" s="1"/>
  <c r="A15" i="1" s="1"/>
  <c r="A1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tc={2FF350F5-137A-43F8-AA25-508D42679CA1}</author>
  </authors>
  <commentList>
    <comment ref="E1" authorId="0" shapeId="0" xr:uid="{2FF350F5-137A-43F8-AA25-508D42679CA1}">
      <text>
        <t>[Comentário encadeado]
Sua versão do Excel permite que você leia este comentário encadeado, no entanto, as edições serão removidas se o arquivo for aberto em uma versão mais recente do Excel. Saiba mais: https://go.microsoft.com/fwlink/?linkid=870924
Comentário:
    LETRA MAIÚSCULA</t>
      </text>
    </comment>
  </commentList>
</comments>
</file>

<file path=xl/sharedStrings.xml><?xml version="1.0" encoding="utf-8"?>
<sst xmlns="http://schemas.openxmlformats.org/spreadsheetml/2006/main" count="185" uniqueCount="134">
  <si>
    <t>ITEM</t>
  </si>
  <si>
    <t>DATA</t>
  </si>
  <si>
    <t>HORÁRIO</t>
  </si>
  <si>
    <t>DIA DA SEMANA</t>
  </si>
  <si>
    <t>DESCRIÇÃO DO EVENTO</t>
  </si>
  <si>
    <t>LOCAL</t>
  </si>
  <si>
    <t>ÁREA</t>
  </si>
  <si>
    <t>EQUIPAMENTO</t>
  </si>
  <si>
    <t>PLACA OU TAG</t>
  </si>
  <si>
    <t>NOME DO ENVOLVIDO</t>
  </si>
  <si>
    <t>LETRA/TURNO</t>
  </si>
  <si>
    <t>ESTAVA DE EXTRA?</t>
  </si>
  <si>
    <t>ENCARREGADO</t>
  </si>
  <si>
    <t>DATA ADMISSÃO</t>
  </si>
  <si>
    <t>TEMPO DE EMPRESA</t>
  </si>
  <si>
    <t>DATA DE NASCIMENTO</t>
  </si>
  <si>
    <t>IDADE</t>
  </si>
  <si>
    <t>TIPO DE OCORRÊNCIA</t>
  </si>
  <si>
    <t>REINCIDENTE?</t>
  </si>
  <si>
    <t>QUANDO OCORREU?</t>
  </si>
  <si>
    <t>DESCRIÇÃO DANO</t>
  </si>
  <si>
    <t>CLASSIFICAÇÃO REAL</t>
  </si>
  <si>
    <t>CLASSIFICAÇÃO POTENCIAL</t>
  </si>
  <si>
    <t>Nº DA CAT</t>
  </si>
  <si>
    <t>PERÍODO DE AFASTAMENTO</t>
  </si>
  <si>
    <t>PRAZO ANÁLISE</t>
  </si>
  <si>
    <t>STATUS</t>
  </si>
  <si>
    <t>OBSERVAÇÃO</t>
  </si>
  <si>
    <t>PORTO</t>
  </si>
  <si>
    <t>CAMINHÃO PIPA</t>
  </si>
  <si>
    <t>QRJ4H13</t>
  </si>
  <si>
    <t>CAMINHÃO CAÇAMBA</t>
  </si>
  <si>
    <t>CAT 02</t>
  </si>
  <si>
    <t>PÁ CARREGADEIRA</t>
  </si>
  <si>
    <t xml:space="preserve">RENATO GARCIA </t>
  </si>
  <si>
    <t>QRJ4H24</t>
  </si>
  <si>
    <t>AVENIDA SÃO GERALDO</t>
  </si>
  <si>
    <t>EXTERNO</t>
  </si>
  <si>
    <t>USINA</t>
  </si>
  <si>
    <t>SFX6A88</t>
  </si>
  <si>
    <t>DEIVID ROGESTER</t>
  </si>
  <si>
    <t>SFX5C76</t>
  </si>
  <si>
    <t>H38 - ROTA AMT</t>
  </si>
  <si>
    <t>HENRIQUE ZANOLI</t>
  </si>
  <si>
    <t>THIAGO DIAS</t>
  </si>
  <si>
    <t>ITALO JOSE BORGES PAIXAO</t>
  </si>
  <si>
    <t xml:space="preserve">RBC9D49 </t>
  </si>
  <si>
    <t>CRISTALLY NETTO</t>
  </si>
  <si>
    <t>DIEGO NEVES</t>
  </si>
  <si>
    <t>GABRIELE MONTARROYOS</t>
  </si>
  <si>
    <t xml:space="preserve">	MARCELO COELHO PEREIRA</t>
  </si>
  <si>
    <t>EDUANE PEROVANO</t>
  </si>
  <si>
    <t xml:space="preserve">TOO0A45 </t>
  </si>
  <si>
    <t xml:space="preserve">MARCOS VINICIUS </t>
  </si>
  <si>
    <t>DURANTE O TRAJETO DE RETORNO À BASE, APÓS O ENCERRAMENTO DO TURNO, AO DEIXAR A AVENIDA SÃO GERALDO E SE APROXIMAR DA ROTATÓRIA DA ARCELOR, O OPERADOR PERCEBEU UM RUÍDO ANORMAL  DO EQUIPAMENTO. DIANTE DA SITUAÇÃO, REALIZOU A PARADA DO VEÍCULO EM LOCAL SEGURO PARA AVERIGUAÇÃO. DURANTE A INSPEÇÃO, CONSTATOU VAZAMENTO DE AR EM UM DOS PNEUS, IDENTIFICANDO POSTERIORMENTE A PRESENÇA DE UM FURO. O MESMO CONDUZIU ATÉ A BASE COM SEGURANÇA PARA A MANUTENÇÃO REPARAR O DANO.</t>
  </si>
  <si>
    <t>DURANTE A EXECUÇÃO DA ATIVIDADE DE LIMPEZA DA VIA E HIGIENIZAÇÃO DA PLACA DE IDENTIFICAÇÃO DO PORTÃO 3 – ÁREA NOVA – PÁTIO F, O AJUDANTE POSICIONOU A MANGUEIRA PARA REALIZAR A LAVAGEM DA PLACA, UTILIZANDO ÁGUA COM PRESSÃO DE APROXIMADAMENTE 800 GIRO. NO MOMENTO EM QUE O JATO DE ÁGUA ATINGIU A ESTRUTURA, A PLACA VEIO A SE DESPRENDER E CAIR.</t>
  </si>
  <si>
    <t>EM FRENTE AO PÁTIO G - AREA NOVA</t>
  </si>
  <si>
    <t>APÓS A CONCLUSÃO DA ATIVIDADE NO VIRADOR DE VAGÕES 5, DURANTE A EXECUÇÃO DA MANOBRA  PARA SAIR DO VIRADOR, O CONDUTOR COLIDIU A TRASEIRA DO VEÍCULO CONTRA UMA ESTRUTURA FIXA EXISTENTE NO LOCAL. COMO CONSEQUÊNCIA, HOUVE AVARIA NA ESTRUTURA E NO PARA-CHOQUE DO EQUIPAMENTO. NÃO FORAM REGISTRADAS LESÕES PESSOAIS. SEGUNDO RELATO DO MOTORISTA, O ACESSO APRESENTA LARGURA REDUZIDA, O QUE CONTRIBUIU PARA A LIMITAÇÃO DA ÁREA DE MANOBRA.</t>
  </si>
  <si>
    <t>VIRADOR DE VAGOES - VV5</t>
  </si>
  <si>
    <t>RQO 6D90</t>
  </si>
  <si>
    <t>MARCOS ROBSON</t>
  </si>
  <si>
    <t>NO DIA 13/06/2026, POR VOLTA DAS 15H00, DURANTE A EXECUÇÃO DAS ATIVIDADES DE MOVIMENTAÇÃO DE MATERIAL DENTRO DO CANTEIRO DA BUSATO, O OPERADOR, AO REALIZAR A MOVIMENTAÇÃO DE MATERIAL, NÃO SE ATENTOU À EXISTÊNCIA DE UMA TUBULAÇÃO COBERTA NA ÁREA, VINDO A OCASIONAR O SEU ROMPIMENTO.</t>
  </si>
  <si>
    <t>PILHA DE INSUMO DESPEJOU POR CIMA DO MANGONTE DO VEÍCULO SFX-6A88 SENDO NECESSÁRIO A AJUDA DA PÁ CARREGADEIRA PARA RESGATE.</t>
  </si>
  <si>
    <t>6R21 (PMI)</t>
  </si>
  <si>
    <t xml:space="preserve"> 09:58</t>
  </si>
  <si>
    <t>OCORREU UM PEQUENO ROMPIMENTO NA MANGUEIRA HIDRÁULICA DO H DA PÁ CARREGADEIRA, OCORRENDO GOTEJAMENTO DE ÓLEO HIDRÁULICO NO PISO CONCRETADO, APROXIMADAMENTE 300 ML NO ACUMULADO.</t>
  </si>
  <si>
    <t>CARVÃO 02</t>
  </si>
  <si>
    <t>LELIA MENDES</t>
  </si>
  <si>
    <t>DURANTE A REALIZAÇÃO DE UMA MANOBRA EM MARCHA À RÉ, O COLABORADOR COLIDIU COM A ESTRUTURA METÁLICA DO PORTÃO, OCASIONANDO O AMASSAMENTO DA CHAPA METÁLICA. NO TURNO DA NOITE, A TÉCNICA DE SEGURANÇA CRISTÁLLY NETTO, E O ENCARREGADO SANDRO FORAM ACIONADOS PELO TÉCNICO DE ÁREA VALE ANDRÉ PARA REALIZAR A VERIFICAÇÃO INICIAL DO DANO. POSTERIORMENTE, EM CONJUNTO COM ALESSANDRO (TÉCNICO DE SEGURANÇA DO SESI) E RICARDO (COORDENADOR), FOI REALIZADA UMA INSPEÇÃO DETALHADA DA ESTRUTURA. APÓS A AVALIAÇÃO, CONSTATOU-SE QUE O IMPACTO OCASIONOU APENAS O AMASSAMENTO DA CHAPA METÁLICA DO PORTÃO, NÃO SENDO IDENTIFICADOS DANOS ESTRUTURAIS APARENTES, DEFORMAÇÕES NA COLUNA DE SUSTENTAÇÃO OU COMPROMETIMENTO DA INTEGRIDADE DA ESTRUTURA. AS IMAGENS REGISTRADAS EVIDENCIAM AS CONDIÇÕES VERIFICADAS DURANTE A INSPEÇÃO.</t>
  </si>
  <si>
    <t>AO REALIZAR O SERVIÇO DE REMOÇÃO, DURANTE A MANOBRA, O MOTORISTA NÃO VISUALIZOU UM PEQUENO TRONCO DE ÁRVORE PRESENTE NA VIA. A PRESENÇA DE OUTRAS CAÇAMBAS NO LOCAL CONTRIBUIU PARA A RESTRIÇÃO DO CAMPO DE VISÃO, DIFICULTANDO A IDENTIFICAÇÃO DO OBSTÁCULO. EM DECORRÊNCIA DISSO, A PARTE INFERIOR DO VEÍCULO RESVALOU COM O TRONCO, OCASIONANDO DANOS AO RADIADOR.</t>
  </si>
  <si>
    <t>TOK4J37</t>
  </si>
  <si>
    <t>DAVID DE ALMEIDA</t>
  </si>
  <si>
    <t>O FUNCIONÁRIO INFORMOU QUE AO ANDAR PARA FRENTE COM O CAMINHÃO, NÃO CONSEGUI VER A POSIÇÃO EM QUE MANGUEIRA ESTAVA. COM ISSO VEIO A PASSAR POR CIMA DA MESMA E QUEBROU O ENGATE DA MANGUEIRA. O EQUIPAMENTO TRABALHA EM CONJUNTO COM OS ASG SODEXO.</t>
  </si>
  <si>
    <t>ROTATORIA HELIO FERRAZ SENTIDO TUNEL DE 5/7</t>
  </si>
  <si>
    <t>Durante o período em que o caminhão-pipa, Placa TOO0A45, permaneceu estacionado nas proximidades do restaurante do virador de vagões, o colaborador, ao retornar ao equipamento, identificou avaria na proteção (Corujinha) do tanque.</t>
  </si>
  <si>
    <t>restaurante do virador de vagões</t>
  </si>
  <si>
    <t>TOO0A45</t>
  </si>
  <si>
    <t xml:space="preserve">	EDNEI SANTOS NASCIMENTO</t>
  </si>
  <si>
    <t>6 anos e 10 meses</t>
  </si>
  <si>
    <t>Conforme relatado pelo operador, o equipamento apresenta desvio lateral de direção durante o funcionamento. Apesar da abertura prévia de diversas Ordens de Serviço (O.S.) para sanar a falha, o problema persistiu e a máquina continuou em operação. Na data de hoje, uma nova O.S. foi emitida para registro e tratamento da anomalia. Posteriormente, durante a execução de atividades na Encat 11, o equipamento voltou a puxar para o lado, resultando em uma colisão que danificou a sua tampa.</t>
  </si>
  <si>
    <t>Acionamento da H21</t>
  </si>
  <si>
    <t>MC 693</t>
  </si>
  <si>
    <t xml:space="preserve">	ADRIAN BARBOSA DEONISIO</t>
  </si>
  <si>
    <t>a primeira atividade da rota da AMT, por volta das 08:20 / 08:30, após o colaborador da Sodexo realizar o carregamento do equipamento no veículo, o colaborador Busato estacionou o caminhão em frente a uma caixa baixa.
Ao deixar o local, o bico de pato do lado direito e a escada de acesso, também do lado direito, colidiram com a caixa, ocasionando os seguintes danos:
- Quebra do bico de pato;
- Rachadura na escada de acesso;
- Outra rachadura de maior proporção na parte superior da estrutura.</t>
  </si>
  <si>
    <t>Rota AMT</t>
  </si>
  <si>
    <t>QRJ 5A90</t>
  </si>
  <si>
    <t>MARCOS ROBSON ALVES DE ARAUJO</t>
  </si>
  <si>
    <t>o finalizar as atividades na Vale, conduzindo o caminhão QRJ-5A90, na subida localizada após o Mercado BH, em novo horizonte. Por volta das 18h00, o veículo não conseguiu subir a ladeira utilizando a terceira marcha.</t>
  </si>
  <si>
    <t>Rua Gaivota - ladeira do supermercado BH</t>
  </si>
  <si>
    <t>Por volta das 03:30, o colaborador Marcelo informou que ao fazer a rotatória do Restaurante do Porto, quando o mesmo informou que ouviu ser chamado pelo rádio, e ao abaixar para pegar, encostou no guard-rail, amassando a proteção lateral do caminhão. Não houve dano estrutural no guard-rail. Funcionário informou no fim do turno sobre o ocorrido.</t>
  </si>
  <si>
    <t>Rotatória do Restaurante do Porto</t>
  </si>
  <si>
    <t>Ao finalizar a atividade, o condutor deslocou-se até o Pátio K para buscar um colaborador. Durante a saída do local, ao descer a ladeira, a curva não foi realizada com a amplitude necessária, fazendo com que o veículo resvalasse no talude. Em decorrência do contato com o talude, ocorreram furos nos pneus do veículo, resultando exclusivamente em danos materiais. Não houve danos físicos ou lesões aos envolvidos.</t>
  </si>
  <si>
    <t>Ladeira do pátio K - Rota AMT</t>
  </si>
  <si>
    <t xml:space="preserve">	ALEX SILVERIO BATISTA</t>
  </si>
  <si>
    <t xml:space="preserve">04/11/2025	</t>
  </si>
  <si>
    <t>Ao iniciar a atividade no DIR, a equipe da SODEXO solicitou que o Motorista fizesse a movimentação do caminhão, não se atentando com a mangueira, que veio a ser prensada nas rodas e se rompeu.</t>
  </si>
  <si>
    <t>DIR</t>
  </si>
  <si>
    <t xml:space="preserve">	ANTONIO MARCOS SANTOS</t>
  </si>
  <si>
    <t xml:space="preserve">22h30 </t>
  </si>
  <si>
    <t>O colaborador  informou que ao retornar do jantar, foi fazer uma manobra para  tirar o carro de um buraco, veio a colidir no carro da usina TOL2A17.</t>
  </si>
  <si>
    <t xml:space="preserve">Estacionamento do restaurante de vagões </t>
  </si>
  <si>
    <t>Ao realizar a raspagem em baixo das D's, o colaborador informou que tinha várias pessoas chamando via rádio e veio a se destrair. Com isso, veio a encostar na estrutura vindo a amassar o teto e danificando o farol do lado direito.</t>
  </si>
  <si>
    <t>Em baixo das D's - Área nova</t>
  </si>
  <si>
    <t xml:space="preserve"> Mini Carregadeira </t>
  </si>
  <si>
    <t>Após a conclusão das atividades, o condutor iniciou o deslocamento para a base. Ao passar pela Portaria de Carapina, dirigiu-se ao semáforo localizado no cruzamento com a Avenida Norte-Sul. Quando o sinal abriu, o condutor relatou ter tido sua visibilidade momentaneamente prejudicada pela incidência direta da luz solar no para-brisa. Além disso, informou que sua baixa estatura contribuiu para a redução do campo de visão. Em razão da dificuldade de visualização, não identificou a tempo a presença do veículo à sua frente, vindo a colidir/encostar na traseira do veículo.</t>
  </si>
  <si>
    <t xml:space="preserve">Semáforo, Próximo ao terminal de carapina </t>
  </si>
  <si>
    <t>NA SAÍDA DA PORTARIA DA VALE</t>
  </si>
  <si>
    <t>FABIO JUNIOR BRAS</t>
  </si>
  <si>
    <t>VANILDO</t>
  </si>
  <si>
    <t>EVANDRO</t>
  </si>
  <si>
    <t>DAVI/JOSE PATRICIO</t>
  </si>
  <si>
    <t>Ao realizar a curva de acesso ao pátio, estava atento ao portão de entrada, cujas portas encontravam-se abertas, sendo uma direcionada para fora e outra para dentro. Durante a manobra, o pneu do veículo acabou enconstando em uma caixa existente no local.  Segundo o motorista, a caixa era de baixa altura e permaneceu em seu ponto cego, dificultando sua vizualização da curva. Ressalto que ainda que aquele não era um trajeto habitualmente utilizado para acesso, sendo que, o acesso é realizado por outra rota.</t>
  </si>
  <si>
    <t>PÁTIO 8</t>
  </si>
  <si>
    <t>ADRIANO PRATES</t>
  </si>
  <si>
    <t>Durante a atividade de umectação da rua concretada na Usina 5/7, segundo relato do operador, ao se aproximar de um trecho onde havia um isolamento delimitando um carrinho utilizado para armazenamento de ferramentas, foi necessário realizar um desvio com o caminhão.Durante a manobra de desvio, o veículo colidiu com um suporte do guarda-corpo, ocasionando danos no para-choque dianteiro, lado direito, e na escada lateral do lado do motorista.</t>
  </si>
  <si>
    <t>Usina 5/7 - Rua Concretada</t>
  </si>
  <si>
    <t>TOL1I39</t>
  </si>
  <si>
    <t>HAIDI</t>
  </si>
  <si>
    <t>Durante a operação de limpeza de vias, foi necessário mudar o caminhão de posição devido a passagem de uma pá carregadeira, após a passagem da pá os auxiliares da Sodexo foram reposicionar o caminhão. Segundo relato do motorista, um dos auxiliares abriu a porta do caminhão e pediu para o mesmo puxar o caminhão para frente. O motorista verificou no retrovisor onde estava a mangueira e os auxiliares e puxou o carro para frente onde a mangueira veio a passar por baixo da roda traseira fazendo com quem ela se esticase amassando a proteção lateral do caminhão o que ocasionou um corte no tanque de combustível derramando todo o óleo diesel do caminhão na via.</t>
  </si>
  <si>
    <t>lavador de pneus 01 - ETE central</t>
  </si>
  <si>
    <t xml:space="preserve">Já em atividade, o motorista da caçamba ao fazer o descarregamento do material identificou vazamento no veículo, em seguida parou a atividade e de imediato entrou com contato com o supervisor que prontamente se apresentou no local junto ao técnico de segurança. </t>
  </si>
  <si>
    <t>Pátio do briquete 1/2</t>
  </si>
  <si>
    <t>PC-497</t>
  </si>
  <si>
    <t>Murillo Souza</t>
  </si>
  <si>
    <t>O colaborador informou que foi orientado pelo técnico de área a ir se deslocar para verificar uma atividade de retirada de água no Pátio com a pá carregadeira , onde veio a atolar no minério fino.</t>
  </si>
  <si>
    <t xml:space="preserve">7PA5 lado sul </t>
  </si>
  <si>
    <t>João Carlos Chargas</t>
  </si>
  <si>
    <t>Sentindo carapina motorista parado uma moto passou na lateral e veio a esbarrar o retrovisor no caminhao.</t>
  </si>
  <si>
    <t>O colaborador informou que na atividade de alimentar o chute com a Pá Carregadeira, percebeu um forte odor, e ao verificar, notou que o veículo estava com um vazamento de óleo diesel. O oléo acabou sendo absorvido pelo minério, sobrando então somente o odor.</t>
  </si>
  <si>
    <t xml:space="preserve"> Norte Pátio 3 - Usina 3 e 4</t>
  </si>
  <si>
    <t>José Antônio de Oliveira Neto</t>
  </si>
  <si>
    <t>LUIS CLAUDIO</t>
  </si>
  <si>
    <t>JOÃO NEVES</t>
  </si>
  <si>
    <t>ADENILSON CARVALHO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</si>
</sst>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0"/>
      <name val="Aptos Narrow"/>
      <family val="2"/>
      <scheme val="minor"/>
    </font>
    <font>
      <sz val="10"/>
      <color theme="1"/>
      <name val="Aptos Narrow"/>
      <family val="2"/>
      <scheme val="minor"/>
    </font>
    <font>
      <sz val="9"/>
      <color indexed="81"/>
      <name val="Segoe UI"/>
    </font>
  </fonts>
  <fills count="4">
    <fill>
      <patternFill patternType="none"/>
    </fill>
    <fill>
      <patternFill patternType="gray125"/>
    </fill>
    <fill>
      <patternFill patternType="solid">
        <fgColor theme="3"/>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10">
    <xf numFmtId="0" fontId="0" fillId="0" borderId="0" xfId="0"/>
    <xf numFmtId="14" fontId="2" fillId="0" borderId="0" xfId="0" applyNumberFormat="1" applyFont="1" applyAlignment="1">
      <alignment horizontal="center" vertical="center"/>
    </xf>
    <xf numFmtId="20" fontId="2" fillId="0" borderId="0" xfId="0" applyNumberFormat="1" applyFont="1" applyAlignment="1">
      <alignment horizontal="center" vertical="center"/>
    </xf>
    <xf numFmtId="0" fontId="2" fillId="0" borderId="0" xfId="0" applyFont="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0" xfId="0" applyAlignment="1"/>
    <xf numFmtId="0" fontId="2" fillId="3" borderId="0" xfId="0" applyFont="1" applyFill="1" applyAlignment="1">
      <alignment horizontal="center" vertical="center"/>
    </xf>
    <xf numFmtId="14" fontId="2" fillId="3" borderId="0" xfId="0" applyNumberFormat="1" applyFont="1" applyFill="1" applyAlignment="1">
      <alignment horizontal="center" vertical="center"/>
    </xf>
    <xf numFmtId="20" fontId="2" fillId="3" borderId="0" xfId="0" applyNumberFormat="1" applyFont="1" applyFill="1" applyAlignment="1">
      <alignment horizontal="center" vertical="center"/>
    </xf>
  </cellXfs>
  <cellStyles count="1">
    <cellStyle name="Normal" xfId="0" builtinId="0"/>
  </cellStyles>
  <dxfs count="57">
    <dxf>
      <font>
        <b val="0"/>
        <strike val="0"/>
        <outline val="0"/>
        <shadow val="0"/>
        <u val="none"/>
        <vertAlign val="baseline"/>
        <sz val="10"/>
        <name val="Calibri"/>
        <family val="2"/>
        <scheme val="none"/>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font>
        <b val="0"/>
        <strike val="0"/>
        <outline val="0"/>
        <shadow val="0"/>
        <u val="none"/>
        <vertAlign val="baseline"/>
        <sz val="10"/>
        <name val="Aptos Narrow"/>
        <family val="2"/>
        <scheme val="minor"/>
      </font>
      <numFmt numFmtId="25" formatCode="hh:mm"/>
      <alignment horizontal="center" vertical="center" textRotation="0" wrapText="0" indent="0" justifyLastLine="0" shrinkToFit="0" readingOrder="0"/>
    </dxf>
    <dxf>
      <font>
        <b val="0"/>
        <strike val="0"/>
        <outline val="0"/>
        <shadow val="0"/>
        <u val="none"/>
        <vertAlign val="baseline"/>
        <sz val="10"/>
        <name val="Aptos Narrow"/>
        <family val="2"/>
        <scheme val="minor"/>
      </font>
      <numFmt numFmtId="19" formatCode="dd/mm/yyyy"/>
      <alignment horizontal="center" vertical="center" textRotation="0" wrapText="0" indent="0" justifyLastLine="0" shrinkToFit="0" readingOrder="0"/>
    </dxf>
    <dxf>
      <font>
        <b val="0"/>
        <strike val="0"/>
        <outline val="0"/>
        <shadow val="0"/>
        <u val="none"/>
        <vertAlign val="baseline"/>
        <sz val="10"/>
        <name val="Aptos Narrow"/>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mpartilhado\GISELLE%20RODRIGUES\RELATORIO%20MENSAL\INDICADORES-EM-SST-BUSATO%20TRANSPORTES...xlsm" TargetMode="External"/><Relationship Id="rId1" Type="http://schemas.openxmlformats.org/officeDocument/2006/relationships/externalLinkPath" Target="file:///X:\Compartilhado\GISELLE%20RODRIGUES\RELATORIO%20MENSAL\INDICADORES-EM-SST-BUSATO%20TRANSPORT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dastros"/>
      <sheetName val="Base Acidentes"/>
      <sheetName val="Base DDS"/>
      <sheetName val="Base atestados"/>
      <sheetName val="Dash.Acidentes"/>
      <sheetName val="Dash DDS"/>
      <sheetName val="Dash Atestados"/>
      <sheetName val="Instruções"/>
      <sheetName val="Apoio"/>
    </sheetNames>
    <sheetDataSet>
      <sheetData sheetId="0">
        <row r="6">
          <cell r="B6" t="str">
            <v>Operacional</v>
          </cell>
        </row>
        <row r="7">
          <cell r="B7" t="str">
            <v>Segurança</v>
          </cell>
        </row>
        <row r="8">
          <cell r="B8" t="str">
            <v>Frota</v>
          </cell>
        </row>
        <row r="9">
          <cell r="B9" t="str">
            <v>Liderança</v>
          </cell>
        </row>
        <row r="10">
          <cell r="B10" t="str">
            <v>Manutenção</v>
          </cell>
        </row>
        <row r="11">
          <cell r="B11" t="str">
            <v>Recursos Humanos</v>
          </cell>
        </row>
        <row r="12">
          <cell r="B12" t="str">
            <v>Operacional Porto</v>
          </cell>
        </row>
        <row r="13">
          <cell r="B13" t="str">
            <v>Operacional Usina</v>
          </cell>
        </row>
        <row r="14">
          <cell r="B14" t="str">
            <v>Externo</v>
          </cell>
        </row>
        <row r="15">
          <cell r="B15" t="str">
            <v>Base</v>
          </cell>
        </row>
        <row r="16">
          <cell r="B16"/>
        </row>
        <row r="17">
          <cell r="B17"/>
        </row>
        <row r="18">
          <cell r="B18"/>
        </row>
        <row r="19">
          <cell r="B19"/>
        </row>
        <row r="20">
          <cell r="B20"/>
        </row>
        <row r="21">
          <cell r="B21"/>
        </row>
        <row r="22">
          <cell r="B22"/>
        </row>
        <row r="23">
          <cell r="B23"/>
        </row>
        <row r="24">
          <cell r="B24"/>
        </row>
        <row r="25">
          <cell r="B25"/>
        </row>
      </sheetData>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Alexandre Junior_CONTR" id="{826F43C1-D34A-4461-AC2C-22CAD60A6F12}" userId="S::C0651641@vale.com::78f57c4b-ddf2-4f3e-804f-7c616a32e9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7B6C71-C48E-4B2A-9978-AA9982740846}" name="Tabela13547" displayName="Tabela13547" ref="A2:AB31" headerRowCount="0" totalsRowShown="0" dataDxfId="0" tableBorderDxfId="56">
  <tableColumns count="28">
    <tableColumn id="1" xr3:uid="{1546C01C-4B6C-4CCC-A08E-F81C69E7706E}" name="Coluna1" dataDxfId="28" totalsRowDxfId="55">
      <calculatedColumnFormula>A2+1</calculatedColumnFormula>
    </tableColumn>
    <tableColumn id="2" xr3:uid="{53AE5F82-F934-4919-8CB6-B9C8E6FAED52}" name="Coluna2" dataDxfId="27" totalsRowDxfId="54"/>
    <tableColumn id="3" xr3:uid="{527DD71C-4D42-4FD4-9B49-F315B7DA3165}" name="Coluna3" dataDxfId="26" totalsRowDxfId="53"/>
    <tableColumn id="4" xr3:uid="{B5EDB451-0E3E-4735-A38F-13B780740D2B}" name="Coluna4" dataDxfId="25" totalsRowDxfId="52">
      <calculatedColumnFormula>TEXT(B3,"dddd")</calculatedColumnFormula>
    </tableColumn>
    <tableColumn id="5" xr3:uid="{EDDE4619-4FEA-4119-924A-CC51D3CE92D0}" name="Coluna5" dataDxfId="24" totalsRowDxfId="51"/>
    <tableColumn id="6" xr3:uid="{DE6F8199-DFCD-4542-A00D-748F4E401691}" name="Coluna6" dataDxfId="23" totalsRowDxfId="50"/>
    <tableColumn id="7" xr3:uid="{2E6E4CCB-3152-40A2-9434-85E4A6378D6F}" name="Coluna7" dataDxfId="22" totalsRowDxfId="49"/>
    <tableColumn id="8" xr3:uid="{74657973-A92F-4B41-8E7C-1645D6AA356A}" name="Coluna8" dataDxfId="21" totalsRowDxfId="48"/>
    <tableColumn id="9" xr3:uid="{365395AF-D93C-4B8E-8FC1-F147ECA5C02F}" name="Coluna9" dataDxfId="20" totalsRowDxfId="47"/>
    <tableColumn id="10" xr3:uid="{E215FB92-D1E5-4274-91E9-75E6855CEB2A}" name="Coluna10" dataDxfId="19" totalsRowDxfId="46"/>
    <tableColumn id="11" xr3:uid="{70F2E459-91B6-41B8-ADBB-BD6103EF9058}" name="Coluna11" dataDxfId="18" totalsRowDxfId="45"/>
    <tableColumn id="12" xr3:uid="{9363E5EB-28AD-476B-A226-971A3B69FA66}" name="Coluna12" dataDxfId="17" totalsRowDxfId="44"/>
    <tableColumn id="13" xr3:uid="{F7068E96-BD3F-4A4E-B85C-5774A6D99668}" name="Coluna13" dataDxfId="16" totalsRowDxfId="43"/>
    <tableColumn id="14" xr3:uid="{E737FAEC-A382-4378-95A7-2003EE860C29}" name="Coluna14" dataDxfId="15" totalsRowDxfId="42"/>
    <tableColumn id="15" xr3:uid="{02AD88E3-EC9A-4CC3-A3CE-78910692C7D0}" name="Coluna15" dataDxfId="14"/>
    <tableColumn id="16" xr3:uid="{15093EF8-9CAD-4738-920B-3BC3BC2F4EBC}" name="Coluna16" dataDxfId="13" totalsRowDxfId="41"/>
    <tableColumn id="17" xr3:uid="{8DC483D3-DD76-4D4D-8304-D55A75606E81}" name="Coluna17" dataDxfId="12" totalsRowDxfId="40"/>
    <tableColumn id="18" xr3:uid="{B8982144-D473-4DC4-BB2F-D7CD5C2E0C93}" name="Coluna18" dataDxfId="11" totalsRowDxfId="39"/>
    <tableColumn id="19" xr3:uid="{120F1DA9-D72B-4DD4-AF60-AFAFB9E0C603}" name="Coluna19" dataDxfId="10" totalsRowDxfId="38"/>
    <tableColumn id="20" xr3:uid="{D6246814-AFF6-46FA-8773-55FF0EF74AD8}" name="Coluna20" dataDxfId="9" totalsRowDxfId="37"/>
    <tableColumn id="21" xr3:uid="{D3A180E2-098D-4ED4-90D2-FDC1F12C01AF}" name="Coluna21" dataDxfId="8" totalsRowDxfId="36"/>
    <tableColumn id="22" xr3:uid="{863C5D5B-1BFD-4B28-9883-E14D1619072A}" name="Coluna22" dataDxfId="7" totalsRowDxfId="35"/>
    <tableColumn id="23" xr3:uid="{F07712B6-214D-4149-95BE-0BEBAF18AB80}" name="Coluna23" dataDxfId="6" totalsRowDxfId="34"/>
    <tableColumn id="24" xr3:uid="{020073DF-0F68-48C4-92CB-16CA1B031DB6}" name="Coluna24" dataDxfId="5" totalsRowDxfId="33"/>
    <tableColumn id="25" xr3:uid="{1C6D3EBE-DC66-41B4-A7AC-6D9BC75FC2D7}" name="Coluna25" dataDxfId="4" totalsRowDxfId="32"/>
    <tableColumn id="26" xr3:uid="{13947327-3968-4E6B-92E8-2BB56FF18A81}" name="Coluna26" dataDxfId="3" totalsRowDxfId="31"/>
    <tableColumn id="27" xr3:uid="{F0425B0C-17C3-4194-94BA-417A879F3E27}" name="Coluna27" dataDxfId="2" totalsRowDxfId="30"/>
    <tableColumn id="28" xr3:uid="{45786F85-D506-4D83-B3FC-E5FECFD5AECD}" name="Coluna28" dataDxfId="1" totalsRowDxfId="29"/>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3-01-08T13:49:43.59" personId="{826F43C1-D34A-4461-AC2C-22CAD60A6F12}" id="{2FF350F5-137A-43F8-AA25-508D42679CA1}">
    <text>LETRA MAIÚSCULA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1F0CC-D233-4E72-95F4-BF3063E8977C}">
  <dimension ref="A1:AB31"/>
  <sheetViews>
    <sheetView tabSelected="1" topLeftCell="F19" workbookViewId="0">
      <selection activeCell="J19" sqref="J19"/>
    </sheetView>
  </sheetViews>
  <sheetFormatPr defaultRowHeight="15" x14ac:dyDescent="0.25"/>
  <cols>
    <col min="1" max="1" width="7.5703125" style="6" bestFit="1" customWidth="1"/>
    <col min="2" max="2" width="10.7109375" style="6" bestFit="1" customWidth="1"/>
    <col min="3" max="3" width="10" style="6" bestFit="1" customWidth="1"/>
    <col min="4" max="4" width="12.7109375" style="6" bestFit="1" customWidth="1"/>
    <col min="5" max="5" width="255.7109375" style="6" bestFit="1" customWidth="1"/>
    <col min="6" max="6" width="89.42578125" style="6" bestFit="1" customWidth="1"/>
    <col min="7" max="7" width="25.28515625" style="6" bestFit="1" customWidth="1"/>
    <col min="8" max="8" width="36.140625" style="6" bestFit="1" customWidth="1"/>
    <col min="9" max="9" width="35.5703125" style="6" bestFit="1" customWidth="1"/>
    <col min="10" max="10" width="44.5703125" style="6" bestFit="1" customWidth="1"/>
    <col min="11" max="11" width="21.42578125" style="6" bestFit="1" customWidth="1"/>
    <col min="12" max="12" width="15.42578125" style="6" bestFit="1" customWidth="1"/>
    <col min="13" max="13" width="29.85546875" style="6" bestFit="1" customWidth="1"/>
    <col min="14" max="14" width="14" style="6" bestFit="1" customWidth="1"/>
    <col min="15" max="15" width="21.42578125" style="6" bestFit="1" customWidth="1"/>
    <col min="16" max="16" width="18.28515625" style="6" bestFit="1" customWidth="1"/>
    <col min="17" max="17" width="16.7109375" style="6" bestFit="1" customWidth="1"/>
    <col min="18" max="18" width="21.28515625" style="6" bestFit="1" customWidth="1"/>
    <col min="19" max="19" width="17" style="6" bestFit="1" customWidth="1"/>
    <col min="20" max="20" width="17.28515625" style="6" bestFit="1" customWidth="1"/>
    <col min="21" max="21" width="210.140625" style="6" bestFit="1" customWidth="1"/>
    <col min="22" max="22" width="17.7109375" style="6" bestFit="1" customWidth="1"/>
    <col min="23" max="23" width="22.7109375" style="6" bestFit="1" customWidth="1"/>
    <col min="24" max="24" width="10.7109375" style="6" bestFit="1" customWidth="1"/>
    <col min="25" max="25" width="22.5703125" style="6" bestFit="1" customWidth="1"/>
    <col min="26" max="26" width="17.7109375" style="6" bestFit="1" customWidth="1"/>
    <col min="27" max="27" width="13.5703125" style="6" bestFit="1" customWidth="1"/>
    <col min="28" max="28" width="26.5703125" style="6" bestFit="1" customWidth="1"/>
    <col min="29" max="16384" width="9.140625" style="6"/>
  </cols>
  <sheetData>
    <row r="1" spans="1:28" x14ac:dyDescent="0.25">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row>
    <row r="2" spans="1:28" x14ac:dyDescent="0.25">
      <c r="A2" s="3">
        <v>1</v>
      </c>
      <c r="B2" s="1">
        <v>46179</v>
      </c>
      <c r="C2" s="2">
        <v>0.72222222222222221</v>
      </c>
      <c r="D2" s="3" t="str">
        <f t="shared" ref="D2:D20" si="0">TEXT(B2,"dddd")</f>
        <v>sábado</v>
      </c>
      <c r="E2" s="3" t="s">
        <v>54</v>
      </c>
      <c r="F2" s="3" t="s">
        <v>36</v>
      </c>
      <c r="G2" s="3" t="s">
        <v>37</v>
      </c>
      <c r="H2" s="3"/>
      <c r="I2" s="3"/>
      <c r="J2" s="3"/>
      <c r="K2" s="3"/>
      <c r="L2" s="3"/>
      <c r="M2" s="3" t="s">
        <v>40</v>
      </c>
      <c r="N2" s="3"/>
      <c r="O2" s="3"/>
      <c r="P2" s="3"/>
      <c r="Q2" s="3"/>
      <c r="R2" s="3"/>
      <c r="S2" s="3"/>
      <c r="T2" s="3"/>
      <c r="U2" s="3"/>
      <c r="V2" s="3"/>
      <c r="W2" s="3"/>
      <c r="X2" s="3"/>
      <c r="Y2" s="3"/>
      <c r="Z2" s="3"/>
      <c r="AA2" s="3"/>
      <c r="AB2" s="3"/>
    </row>
    <row r="3" spans="1:28" x14ac:dyDescent="0.25">
      <c r="A3" s="3">
        <f t="shared" ref="A3:A7" si="1">A2+1</f>
        <v>2</v>
      </c>
      <c r="B3" s="1">
        <v>46183</v>
      </c>
      <c r="C3" s="2">
        <v>0.86805555555555558</v>
      </c>
      <c r="D3" s="3" t="str">
        <f t="shared" si="0"/>
        <v>quarta-feira</v>
      </c>
      <c r="E3" s="3" t="s">
        <v>55</v>
      </c>
      <c r="F3" s="3" t="s">
        <v>56</v>
      </c>
      <c r="G3" s="3" t="s">
        <v>28</v>
      </c>
      <c r="H3" s="3"/>
      <c r="I3" s="3"/>
      <c r="J3" s="3"/>
      <c r="K3" s="3"/>
      <c r="L3" s="3"/>
      <c r="M3" s="3" t="s">
        <v>47</v>
      </c>
      <c r="N3" s="3"/>
      <c r="O3" s="3"/>
      <c r="P3" s="3"/>
      <c r="Q3" s="3"/>
      <c r="R3" s="3"/>
      <c r="S3" s="3"/>
      <c r="T3" s="3"/>
      <c r="U3" s="3"/>
      <c r="V3" s="3"/>
      <c r="W3" s="3"/>
      <c r="X3" s="3"/>
      <c r="Y3" s="3"/>
      <c r="Z3" s="3"/>
      <c r="AA3" s="3"/>
      <c r="AB3" s="3"/>
    </row>
    <row r="4" spans="1:28" x14ac:dyDescent="0.25">
      <c r="A4" s="3">
        <f t="shared" si="1"/>
        <v>3</v>
      </c>
      <c r="B4" s="1">
        <v>46184</v>
      </c>
      <c r="C4" s="2">
        <v>0.70486111111111116</v>
      </c>
      <c r="D4" s="3" t="str">
        <f t="shared" si="0"/>
        <v>quinta-feira</v>
      </c>
      <c r="E4" s="3" t="s">
        <v>57</v>
      </c>
      <c r="F4" s="3" t="s">
        <v>58</v>
      </c>
      <c r="G4" s="3" t="s">
        <v>28</v>
      </c>
      <c r="H4" s="3" t="s">
        <v>29</v>
      </c>
      <c r="I4" s="3" t="s">
        <v>59</v>
      </c>
      <c r="J4" s="3" t="s">
        <v>60</v>
      </c>
      <c r="K4" s="3"/>
      <c r="L4" s="3"/>
      <c r="M4" s="3" t="s">
        <v>49</v>
      </c>
      <c r="N4" s="3"/>
      <c r="O4" s="3"/>
      <c r="P4" s="3"/>
      <c r="Q4" s="3"/>
      <c r="R4" s="3"/>
      <c r="S4" s="3"/>
      <c r="T4" s="3"/>
      <c r="U4" s="3"/>
      <c r="V4" s="3"/>
      <c r="W4" s="3"/>
      <c r="X4" s="3"/>
      <c r="Y4" s="3"/>
      <c r="Z4" s="3"/>
      <c r="AA4" s="3"/>
      <c r="AB4" s="3"/>
    </row>
    <row r="5" spans="1:28" x14ac:dyDescent="0.25">
      <c r="A5" s="3">
        <f t="shared" si="1"/>
        <v>4</v>
      </c>
      <c r="B5" s="1">
        <v>46186</v>
      </c>
      <c r="C5" s="2">
        <v>0.625</v>
      </c>
      <c r="D5" s="3" t="str">
        <f t="shared" si="0"/>
        <v>sábado</v>
      </c>
      <c r="E5" s="3" t="s">
        <v>61</v>
      </c>
      <c r="F5" s="3"/>
      <c r="G5" s="3" t="s">
        <v>38</v>
      </c>
      <c r="H5" s="3"/>
      <c r="I5" s="3"/>
      <c r="J5" s="3"/>
      <c r="K5" s="3"/>
      <c r="L5" s="3"/>
      <c r="M5" s="3" t="s">
        <v>34</v>
      </c>
      <c r="N5" s="3"/>
      <c r="O5" s="3"/>
      <c r="P5" s="3"/>
      <c r="Q5" s="3"/>
      <c r="R5" s="3"/>
      <c r="S5" s="3"/>
      <c r="T5" s="3"/>
      <c r="U5" s="3"/>
      <c r="V5" s="3"/>
      <c r="W5" s="3"/>
      <c r="X5" s="3"/>
      <c r="Y5" s="3"/>
      <c r="Z5" s="3"/>
      <c r="AA5" s="3"/>
      <c r="AB5" s="3"/>
    </row>
    <row r="6" spans="1:28" x14ac:dyDescent="0.25">
      <c r="A6" s="3">
        <f t="shared" si="1"/>
        <v>5</v>
      </c>
      <c r="B6" s="1">
        <v>46190</v>
      </c>
      <c r="C6" s="2">
        <v>0.16666666666666666</v>
      </c>
      <c r="D6" s="3" t="str">
        <f t="shared" si="0"/>
        <v>quarta-feira</v>
      </c>
      <c r="E6" s="3" t="s">
        <v>62</v>
      </c>
      <c r="F6" s="3" t="s">
        <v>63</v>
      </c>
      <c r="G6" s="3" t="s">
        <v>38</v>
      </c>
      <c r="H6" s="3"/>
      <c r="I6" s="3" t="s">
        <v>39</v>
      </c>
      <c r="J6" s="3" t="s">
        <v>53</v>
      </c>
      <c r="K6" s="3"/>
      <c r="L6" s="3"/>
      <c r="M6" s="3" t="s">
        <v>48</v>
      </c>
      <c r="N6" s="3"/>
      <c r="O6" s="3"/>
      <c r="P6" s="3"/>
      <c r="Q6" s="3"/>
      <c r="R6" s="3"/>
      <c r="S6" s="3"/>
      <c r="T6" s="3"/>
      <c r="U6" s="3"/>
      <c r="V6" s="3"/>
      <c r="W6" s="3"/>
      <c r="X6" s="3"/>
      <c r="Y6" s="3"/>
      <c r="Z6" s="3"/>
      <c r="AA6" s="3"/>
      <c r="AB6" s="3"/>
    </row>
    <row r="7" spans="1:28" x14ac:dyDescent="0.25">
      <c r="A7" s="3">
        <f t="shared" si="1"/>
        <v>6</v>
      </c>
      <c r="B7" s="1">
        <v>46196</v>
      </c>
      <c r="C7" s="2" t="s">
        <v>64</v>
      </c>
      <c r="D7" s="3" t="str">
        <f t="shared" si="0"/>
        <v>terça-feira</v>
      </c>
      <c r="E7" s="3" t="s">
        <v>65</v>
      </c>
      <c r="F7" s="3" t="s">
        <v>66</v>
      </c>
      <c r="G7" s="3" t="s">
        <v>38</v>
      </c>
      <c r="H7" s="3"/>
      <c r="I7" s="3"/>
      <c r="J7" s="3"/>
      <c r="K7" s="3"/>
      <c r="L7" s="3"/>
      <c r="M7" s="3" t="s">
        <v>67</v>
      </c>
      <c r="N7" s="3"/>
      <c r="O7" s="3"/>
      <c r="P7" s="3"/>
      <c r="Q7" s="3"/>
      <c r="R7" s="3"/>
      <c r="S7" s="3"/>
      <c r="T7" s="3"/>
      <c r="U7" s="3"/>
      <c r="V7" s="3"/>
      <c r="W7" s="3"/>
      <c r="X7" s="3"/>
      <c r="Y7" s="3"/>
      <c r="Z7" s="3"/>
      <c r="AA7" s="3"/>
      <c r="AB7" s="3"/>
    </row>
    <row r="8" spans="1:28" x14ac:dyDescent="0.25">
      <c r="A8" s="3">
        <f>A4+1</f>
        <v>4</v>
      </c>
      <c r="B8" s="1">
        <v>46199</v>
      </c>
      <c r="C8" s="2">
        <v>0.69444444444444442</v>
      </c>
      <c r="D8" s="3" t="str">
        <f t="shared" si="0"/>
        <v>sexta-feira</v>
      </c>
      <c r="E8" s="3" t="s">
        <v>68</v>
      </c>
      <c r="F8" s="3" t="s">
        <v>32</v>
      </c>
      <c r="G8" s="3" t="s">
        <v>28</v>
      </c>
      <c r="H8" s="3"/>
      <c r="I8" s="3"/>
      <c r="J8" s="3"/>
      <c r="K8" s="3"/>
      <c r="L8" s="3"/>
      <c r="M8" s="3" t="s">
        <v>49</v>
      </c>
      <c r="N8" s="3"/>
      <c r="O8" s="3"/>
      <c r="P8" s="3"/>
      <c r="Q8" s="3"/>
      <c r="R8" s="3"/>
      <c r="S8" s="3"/>
      <c r="T8" s="3"/>
      <c r="U8" s="3"/>
      <c r="V8" s="3"/>
      <c r="W8" s="3"/>
      <c r="X8" s="3"/>
      <c r="Y8" s="3"/>
      <c r="Z8" s="3"/>
      <c r="AA8" s="3"/>
      <c r="AB8" s="3"/>
    </row>
    <row r="9" spans="1:28" x14ac:dyDescent="0.25">
      <c r="A9" s="3">
        <f t="shared" ref="A9:A31" si="2">A8+1</f>
        <v>5</v>
      </c>
      <c r="B9" s="1">
        <v>46203</v>
      </c>
      <c r="C9" s="2">
        <v>0.35416666666666669</v>
      </c>
      <c r="D9" s="3" t="str">
        <f t="shared" si="0"/>
        <v>terça-feira</v>
      </c>
      <c r="E9" s="3" t="s">
        <v>69</v>
      </c>
      <c r="F9" s="3" t="s">
        <v>42</v>
      </c>
      <c r="G9" s="3" t="s">
        <v>28</v>
      </c>
      <c r="H9" s="3" t="s">
        <v>31</v>
      </c>
      <c r="I9" s="3" t="s">
        <v>70</v>
      </c>
      <c r="J9" s="3" t="s">
        <v>71</v>
      </c>
      <c r="K9" s="3"/>
      <c r="L9" s="3"/>
      <c r="M9" s="3" t="s">
        <v>49</v>
      </c>
      <c r="N9" s="3"/>
      <c r="O9" s="3"/>
      <c r="P9" s="3"/>
      <c r="Q9" s="3"/>
      <c r="R9" s="3"/>
      <c r="S9" s="3"/>
      <c r="T9" s="3"/>
      <c r="U9" s="3"/>
      <c r="V9" s="3"/>
      <c r="W9" s="3"/>
      <c r="X9" s="3"/>
      <c r="Y9" s="3"/>
      <c r="Z9" s="3"/>
      <c r="AA9" s="3"/>
      <c r="AB9" s="3"/>
    </row>
    <row r="10" spans="1:28" x14ac:dyDescent="0.25">
      <c r="A10" s="3">
        <f t="shared" si="2"/>
        <v>6</v>
      </c>
      <c r="B10" s="1">
        <v>46207</v>
      </c>
      <c r="C10" s="2">
        <v>0.16805555555555557</v>
      </c>
      <c r="D10" s="3" t="str">
        <f t="shared" si="0"/>
        <v>sábado</v>
      </c>
      <c r="E10" s="3" t="s">
        <v>72</v>
      </c>
      <c r="F10" s="3" t="s">
        <v>73</v>
      </c>
      <c r="G10" s="3" t="s">
        <v>28</v>
      </c>
      <c r="H10" s="3"/>
      <c r="I10" s="3"/>
      <c r="J10" s="3"/>
      <c r="K10" s="3"/>
      <c r="L10" s="3"/>
      <c r="M10" s="3" t="s">
        <v>43</v>
      </c>
      <c r="N10" s="3"/>
      <c r="O10" s="3"/>
      <c r="P10" s="3"/>
      <c r="Q10" s="3"/>
      <c r="R10" s="3"/>
      <c r="S10" s="3"/>
      <c r="T10" s="3"/>
      <c r="U10" s="3"/>
      <c r="V10" s="3"/>
      <c r="W10" s="3"/>
      <c r="X10" s="3"/>
      <c r="Y10" s="3"/>
      <c r="Z10" s="3"/>
      <c r="AA10" s="3"/>
      <c r="AB10" s="3"/>
    </row>
    <row r="11" spans="1:28" x14ac:dyDescent="0.25">
      <c r="A11" s="3">
        <f t="shared" si="2"/>
        <v>7</v>
      </c>
      <c r="B11" s="1">
        <v>46211</v>
      </c>
      <c r="C11" s="2">
        <v>0.45833333333333331</v>
      </c>
      <c r="D11" s="3" t="str">
        <f t="shared" si="0"/>
        <v>quarta-feira</v>
      </c>
      <c r="E11" s="3" t="s">
        <v>74</v>
      </c>
      <c r="F11" s="3" t="s">
        <v>75</v>
      </c>
      <c r="G11" s="3" t="s">
        <v>28</v>
      </c>
      <c r="H11" s="3" t="s">
        <v>29</v>
      </c>
      <c r="I11" s="3" t="s">
        <v>76</v>
      </c>
      <c r="J11" s="3" t="s">
        <v>77</v>
      </c>
      <c r="K11" s="3"/>
      <c r="L11" s="3"/>
      <c r="M11" s="3" t="s">
        <v>49</v>
      </c>
      <c r="N11" s="1">
        <v>43748</v>
      </c>
      <c r="O11" s="3" t="s">
        <v>78</v>
      </c>
      <c r="P11" s="3"/>
      <c r="Q11" s="3"/>
      <c r="R11" s="3"/>
      <c r="S11" s="3"/>
      <c r="T11" s="3"/>
      <c r="U11" s="3"/>
      <c r="V11" s="3"/>
      <c r="W11" s="3"/>
      <c r="X11" s="3"/>
      <c r="Y11" s="3"/>
      <c r="Z11" s="3"/>
      <c r="AA11" s="3"/>
      <c r="AB11" s="3"/>
    </row>
    <row r="12" spans="1:28" x14ac:dyDescent="0.25">
      <c r="A12" s="3">
        <f t="shared" si="2"/>
        <v>8</v>
      </c>
      <c r="B12" s="1">
        <v>46224</v>
      </c>
      <c r="C12" s="2">
        <v>0.60416666666666663</v>
      </c>
      <c r="D12" s="3" t="str">
        <f t="shared" si="0"/>
        <v>terça-feira</v>
      </c>
      <c r="E12" s="3" t="s">
        <v>79</v>
      </c>
      <c r="F12" s="3" t="s">
        <v>80</v>
      </c>
      <c r="G12" s="3" t="s">
        <v>28</v>
      </c>
      <c r="H12" s="3" t="s">
        <v>81</v>
      </c>
      <c r="I12" s="3"/>
      <c r="J12" s="3" t="s">
        <v>82</v>
      </c>
      <c r="K12" s="3"/>
      <c r="L12" s="3"/>
      <c r="M12" s="3" t="s">
        <v>49</v>
      </c>
      <c r="N12" s="1">
        <v>46097</v>
      </c>
      <c r="O12" s="3"/>
      <c r="P12" s="3"/>
      <c r="Q12" s="3"/>
      <c r="R12" s="3"/>
      <c r="S12" s="3"/>
      <c r="T12" s="3"/>
      <c r="U12" s="3"/>
      <c r="V12" s="3"/>
      <c r="W12" s="3"/>
      <c r="X12" s="3"/>
      <c r="Y12" s="3"/>
      <c r="Z12" s="3"/>
      <c r="AA12" s="3"/>
      <c r="AB12" s="3"/>
    </row>
    <row r="13" spans="1:28" x14ac:dyDescent="0.25">
      <c r="A13" s="3">
        <f t="shared" si="2"/>
        <v>9</v>
      </c>
      <c r="B13" s="1">
        <v>46231</v>
      </c>
      <c r="C13" s="2">
        <v>0.34722222222222221</v>
      </c>
      <c r="D13" s="3" t="str">
        <f t="shared" si="0"/>
        <v>terça-feira</v>
      </c>
      <c r="E13" s="3" t="s">
        <v>83</v>
      </c>
      <c r="F13" s="3" t="s">
        <v>84</v>
      </c>
      <c r="G13" s="3" t="s">
        <v>28</v>
      </c>
      <c r="H13" s="3" t="s">
        <v>29</v>
      </c>
      <c r="I13" s="3" t="s">
        <v>85</v>
      </c>
      <c r="J13" s="3" t="s">
        <v>86</v>
      </c>
      <c r="K13" s="3"/>
      <c r="L13" s="3"/>
      <c r="M13" s="3" t="s">
        <v>49</v>
      </c>
      <c r="N13" s="1">
        <v>45985</v>
      </c>
      <c r="O13" s="3"/>
      <c r="P13" s="3"/>
      <c r="Q13" s="3"/>
      <c r="R13" s="3"/>
      <c r="S13" s="3"/>
      <c r="T13" s="3"/>
      <c r="U13" s="3"/>
      <c r="V13" s="3"/>
      <c r="W13" s="3"/>
      <c r="X13" s="3"/>
      <c r="Y13" s="3"/>
      <c r="Z13" s="3"/>
      <c r="AA13" s="3"/>
      <c r="AB13" s="3"/>
    </row>
    <row r="14" spans="1:28" x14ac:dyDescent="0.25">
      <c r="A14" s="3">
        <f t="shared" si="2"/>
        <v>10</v>
      </c>
      <c r="B14" s="1">
        <v>46231</v>
      </c>
      <c r="C14" s="2">
        <v>0.75</v>
      </c>
      <c r="D14" s="3" t="str">
        <f t="shared" si="0"/>
        <v>terça-feira</v>
      </c>
      <c r="E14" s="3" t="s">
        <v>87</v>
      </c>
      <c r="F14" s="3" t="s">
        <v>88</v>
      </c>
      <c r="G14" s="3" t="s">
        <v>37</v>
      </c>
      <c r="H14" s="3" t="s">
        <v>29</v>
      </c>
      <c r="I14" s="3" t="s">
        <v>85</v>
      </c>
      <c r="J14" s="3" t="s">
        <v>86</v>
      </c>
      <c r="K14" s="3"/>
      <c r="L14" s="3"/>
      <c r="M14" s="3" t="s">
        <v>49</v>
      </c>
      <c r="N14" s="1">
        <v>45985</v>
      </c>
      <c r="O14" s="3"/>
      <c r="P14" s="3"/>
      <c r="Q14" s="3"/>
      <c r="R14" s="3"/>
      <c r="S14" s="3"/>
      <c r="T14" s="3"/>
      <c r="U14" s="3"/>
      <c r="V14" s="3"/>
      <c r="W14" s="3"/>
      <c r="X14" s="3"/>
      <c r="Y14" s="3"/>
      <c r="Z14" s="3"/>
      <c r="AA14" s="3"/>
      <c r="AB14" s="3"/>
    </row>
    <row r="15" spans="1:28" x14ac:dyDescent="0.25">
      <c r="A15" s="3">
        <f t="shared" si="2"/>
        <v>11</v>
      </c>
      <c r="B15" s="1">
        <v>46234</v>
      </c>
      <c r="C15" s="2">
        <v>0.14583333333333334</v>
      </c>
      <c r="D15" s="3" t="str">
        <f t="shared" si="0"/>
        <v>sexta-feira</v>
      </c>
      <c r="E15" s="3" t="s">
        <v>89</v>
      </c>
      <c r="F15" s="3" t="s">
        <v>90</v>
      </c>
      <c r="G15" s="3" t="s">
        <v>28</v>
      </c>
      <c r="H15" s="3" t="s">
        <v>29</v>
      </c>
      <c r="I15" s="3" t="s">
        <v>46</v>
      </c>
      <c r="J15" s="3" t="s">
        <v>50</v>
      </c>
      <c r="K15" s="3"/>
      <c r="L15" s="3"/>
      <c r="M15" s="3" t="s">
        <v>44</v>
      </c>
      <c r="N15" s="1">
        <v>45868</v>
      </c>
      <c r="O15" s="3"/>
      <c r="P15" s="3"/>
      <c r="Q15" s="3"/>
      <c r="R15" s="3"/>
      <c r="S15" s="3"/>
      <c r="T15" s="3"/>
      <c r="U15" s="3"/>
      <c r="V15" s="3"/>
      <c r="W15" s="3"/>
      <c r="X15" s="3"/>
      <c r="Y15" s="3"/>
      <c r="Z15" s="3"/>
      <c r="AA15" s="3"/>
      <c r="AB15" s="3"/>
    </row>
    <row r="16" spans="1:28" x14ac:dyDescent="0.25">
      <c r="A16" s="3">
        <f t="shared" si="2"/>
        <v>12</v>
      </c>
      <c r="B16" s="1">
        <v>46235</v>
      </c>
      <c r="C16" s="2">
        <v>0.70833333333333337</v>
      </c>
      <c r="D16" s="3" t="str">
        <f t="shared" si="0"/>
        <v>sábado</v>
      </c>
      <c r="E16" s="3" t="s">
        <v>91</v>
      </c>
      <c r="F16" s="3" t="s">
        <v>92</v>
      </c>
      <c r="G16" s="3" t="s">
        <v>28</v>
      </c>
      <c r="H16" s="3" t="s">
        <v>29</v>
      </c>
      <c r="I16" s="3" t="s">
        <v>35</v>
      </c>
      <c r="J16" s="3" t="s">
        <v>93</v>
      </c>
      <c r="K16" s="3"/>
      <c r="L16" s="3"/>
      <c r="M16" s="3" t="s">
        <v>49</v>
      </c>
      <c r="N16" s="3" t="s">
        <v>94</v>
      </c>
      <c r="O16" s="3"/>
      <c r="P16" s="3"/>
      <c r="Q16" s="3"/>
      <c r="R16" s="3"/>
      <c r="S16" s="3"/>
      <c r="T16" s="3"/>
      <c r="U16" s="3"/>
      <c r="V16" s="3"/>
      <c r="W16" s="3"/>
      <c r="X16" s="3"/>
      <c r="Y16" s="3"/>
      <c r="Z16" s="3"/>
      <c r="AA16" s="3"/>
      <c r="AB16" s="3"/>
    </row>
    <row r="17" spans="1:28" x14ac:dyDescent="0.25">
      <c r="A17" s="3">
        <f t="shared" si="2"/>
        <v>13</v>
      </c>
      <c r="B17" s="1">
        <v>46240</v>
      </c>
      <c r="C17" s="2">
        <v>0.11805555555555555</v>
      </c>
      <c r="D17" s="3" t="str">
        <f t="shared" si="0"/>
        <v>quinta-feira</v>
      </c>
      <c r="E17" s="3" t="s">
        <v>95</v>
      </c>
      <c r="F17" s="3" t="s">
        <v>96</v>
      </c>
      <c r="G17" s="3" t="s">
        <v>28</v>
      </c>
      <c r="H17" s="3"/>
      <c r="I17" s="3"/>
      <c r="J17" s="3" t="s">
        <v>97</v>
      </c>
      <c r="K17" s="3"/>
      <c r="L17" s="3"/>
      <c r="M17" s="3" t="s">
        <v>44</v>
      </c>
      <c r="N17" s="1">
        <v>45875</v>
      </c>
      <c r="O17" s="3"/>
      <c r="P17" s="3"/>
      <c r="Q17" s="3"/>
      <c r="R17" s="3"/>
      <c r="S17" s="3"/>
      <c r="T17" s="3"/>
      <c r="U17" s="3"/>
      <c r="V17" s="3"/>
      <c r="W17" s="3"/>
      <c r="X17" s="3"/>
      <c r="Y17" s="3"/>
      <c r="Z17" s="3"/>
      <c r="AA17" s="3"/>
      <c r="AB17" s="3"/>
    </row>
    <row r="18" spans="1:28" x14ac:dyDescent="0.25">
      <c r="A18" s="3">
        <f t="shared" si="2"/>
        <v>14</v>
      </c>
      <c r="B18" s="1">
        <v>46249</v>
      </c>
      <c r="C18" s="2" t="s">
        <v>98</v>
      </c>
      <c r="D18" s="3" t="str">
        <f t="shared" si="0"/>
        <v>sábado</v>
      </c>
      <c r="E18" s="3" t="s">
        <v>99</v>
      </c>
      <c r="F18" s="3" t="s">
        <v>100</v>
      </c>
      <c r="G18" s="3" t="s">
        <v>28</v>
      </c>
      <c r="H18" s="3" t="s">
        <v>29</v>
      </c>
      <c r="I18" s="3" t="s">
        <v>52</v>
      </c>
      <c r="J18" s="3" t="s">
        <v>133</v>
      </c>
      <c r="K18" s="3"/>
      <c r="L18" s="3"/>
      <c r="M18" s="3" t="s">
        <v>44</v>
      </c>
      <c r="N18" s="1">
        <v>43598</v>
      </c>
      <c r="O18" s="3"/>
      <c r="P18" s="3"/>
      <c r="Q18" s="3"/>
      <c r="R18" s="3"/>
      <c r="S18" s="3"/>
      <c r="T18" s="3"/>
      <c r="U18" s="3"/>
      <c r="V18" s="3"/>
      <c r="W18" s="3"/>
      <c r="X18" s="3"/>
      <c r="Y18" s="3"/>
      <c r="Z18" s="3"/>
      <c r="AA18" s="3"/>
      <c r="AB18" s="3"/>
    </row>
    <row r="19" spans="1:28" x14ac:dyDescent="0.25">
      <c r="A19" s="3">
        <f t="shared" si="2"/>
        <v>15</v>
      </c>
      <c r="B19" s="1">
        <v>46251</v>
      </c>
      <c r="C19" s="2">
        <v>0.375</v>
      </c>
      <c r="D19" s="3" t="str">
        <f t="shared" si="0"/>
        <v>segunda-feira</v>
      </c>
      <c r="E19" s="3" t="s">
        <v>101</v>
      </c>
      <c r="F19" s="3" t="s">
        <v>102</v>
      </c>
      <c r="G19" s="3" t="s">
        <v>38</v>
      </c>
      <c r="H19" s="3" t="s">
        <v>103</v>
      </c>
      <c r="I19" s="3">
        <v>722</v>
      </c>
      <c r="J19" s="3" t="s">
        <v>45</v>
      </c>
      <c r="K19" s="3"/>
      <c r="L19" s="3"/>
      <c r="M19" s="3" t="s">
        <v>49</v>
      </c>
      <c r="N19" s="1">
        <v>45868</v>
      </c>
      <c r="O19" s="3"/>
      <c r="P19" s="3"/>
      <c r="Q19" s="3"/>
      <c r="R19" s="3"/>
      <c r="S19" s="3"/>
      <c r="T19" s="3"/>
      <c r="U19" s="3"/>
      <c r="V19" s="3"/>
      <c r="W19" s="3"/>
      <c r="X19" s="3"/>
      <c r="Y19" s="3"/>
      <c r="Z19" s="3"/>
      <c r="AA19" s="3"/>
      <c r="AB19" s="3"/>
    </row>
    <row r="20" spans="1:28" x14ac:dyDescent="0.25">
      <c r="A20" s="3">
        <f t="shared" si="2"/>
        <v>16</v>
      </c>
      <c r="B20" s="1">
        <v>46252</v>
      </c>
      <c r="C20" s="2">
        <v>0.69027777777777777</v>
      </c>
      <c r="D20" s="3" t="str">
        <f t="shared" si="0"/>
        <v>terça-feira</v>
      </c>
      <c r="E20" s="3" t="s">
        <v>104</v>
      </c>
      <c r="F20" s="3" t="s">
        <v>105</v>
      </c>
      <c r="G20" s="3" t="s">
        <v>106</v>
      </c>
      <c r="H20" s="3" t="s">
        <v>29</v>
      </c>
      <c r="I20" s="3" t="s">
        <v>30</v>
      </c>
      <c r="J20" s="3" t="s">
        <v>131</v>
      </c>
      <c r="K20" s="3"/>
      <c r="L20" s="3"/>
      <c r="M20" s="3" t="s">
        <v>49</v>
      </c>
      <c r="N20" s="1">
        <v>45950</v>
      </c>
      <c r="O20" s="3"/>
      <c r="P20" s="3"/>
      <c r="Q20" s="3"/>
      <c r="R20" s="3"/>
      <c r="S20" s="3"/>
      <c r="T20" s="3"/>
      <c r="U20" s="3"/>
      <c r="V20" s="3"/>
      <c r="W20" s="3"/>
      <c r="X20" s="3"/>
      <c r="Y20" s="3"/>
      <c r="Z20" s="3"/>
      <c r="AA20" s="3"/>
      <c r="AB20" s="3"/>
    </row>
    <row r="21" spans="1:28" x14ac:dyDescent="0.25">
      <c r="A21" s="3">
        <f t="shared" si="2"/>
        <v>17</v>
      </c>
      <c r="B21" s="1">
        <v>46288</v>
      </c>
      <c r="C21" s="2"/>
      <c r="D21" s="3" t="str">
        <f>TEXT(B21,"dddd")</f>
        <v>quarta-feira</v>
      </c>
      <c r="E21" s="3"/>
      <c r="F21" s="3"/>
      <c r="G21" s="3" t="s">
        <v>28</v>
      </c>
      <c r="H21" s="3"/>
      <c r="I21" s="3"/>
      <c r="J21" s="3" t="s">
        <v>107</v>
      </c>
      <c r="K21" s="3"/>
      <c r="L21" s="3"/>
      <c r="M21" s="3"/>
      <c r="N21" s="3"/>
      <c r="O21" s="3"/>
      <c r="P21" s="3"/>
      <c r="Q21" s="3"/>
      <c r="R21" s="3"/>
      <c r="S21" s="3"/>
      <c r="T21" s="3"/>
      <c r="U21" s="3"/>
      <c r="V21" s="3"/>
      <c r="W21" s="3"/>
      <c r="X21" s="3"/>
      <c r="Y21" s="3"/>
      <c r="Z21" s="3"/>
      <c r="AA21" s="3"/>
      <c r="AB21" s="3"/>
    </row>
    <row r="22" spans="1:28" x14ac:dyDescent="0.25">
      <c r="A22" s="3">
        <f t="shared" si="2"/>
        <v>18</v>
      </c>
      <c r="B22" s="1">
        <v>46288</v>
      </c>
      <c r="C22" s="2"/>
      <c r="D22" s="3" t="str">
        <f t="shared" ref="D22:D29" si="3">TEXT(B22,"dddd")</f>
        <v>quarta-feira</v>
      </c>
      <c r="E22" s="3"/>
      <c r="F22" s="3"/>
      <c r="G22" s="3" t="s">
        <v>28</v>
      </c>
      <c r="H22" s="3"/>
      <c r="I22" s="3"/>
      <c r="J22" s="3" t="s">
        <v>108</v>
      </c>
      <c r="K22" s="3"/>
      <c r="L22" s="3"/>
      <c r="M22" s="3"/>
      <c r="N22" s="3"/>
      <c r="O22" s="3"/>
      <c r="P22" s="3"/>
      <c r="Q22" s="3"/>
      <c r="R22" s="3"/>
      <c r="S22" s="3"/>
      <c r="T22" s="3"/>
      <c r="U22" s="3"/>
      <c r="V22" s="3"/>
      <c r="W22" s="3"/>
      <c r="X22" s="3"/>
      <c r="Y22" s="3"/>
      <c r="Z22" s="3"/>
      <c r="AA22" s="3"/>
      <c r="AB22" s="3"/>
    </row>
    <row r="23" spans="1:28" x14ac:dyDescent="0.25">
      <c r="A23" s="3">
        <f t="shared" si="2"/>
        <v>19</v>
      </c>
      <c r="B23" s="1">
        <v>46288</v>
      </c>
      <c r="C23" s="2"/>
      <c r="D23" s="3" t="str">
        <f t="shared" si="3"/>
        <v>quarta-feira</v>
      </c>
      <c r="E23" s="3"/>
      <c r="F23" s="3"/>
      <c r="G23" s="3" t="s">
        <v>38</v>
      </c>
      <c r="H23" s="3"/>
      <c r="I23" s="3"/>
      <c r="J23" s="3" t="s">
        <v>109</v>
      </c>
      <c r="K23" s="3"/>
      <c r="L23" s="3"/>
      <c r="M23" s="3"/>
      <c r="N23" s="3"/>
      <c r="O23" s="3"/>
      <c r="P23" s="3"/>
      <c r="Q23" s="3"/>
      <c r="R23" s="3"/>
      <c r="S23" s="3"/>
      <c r="T23" s="3"/>
      <c r="U23" s="3"/>
      <c r="V23" s="3"/>
      <c r="W23" s="3"/>
      <c r="X23" s="3"/>
      <c r="Y23" s="3"/>
      <c r="Z23" s="3"/>
      <c r="AA23" s="3"/>
      <c r="AB23" s="3"/>
    </row>
    <row r="24" spans="1:28" x14ac:dyDescent="0.25">
      <c r="A24" s="3">
        <f t="shared" si="2"/>
        <v>20</v>
      </c>
      <c r="B24" s="1">
        <v>46288</v>
      </c>
      <c r="C24" s="2"/>
      <c r="D24" s="3" t="str">
        <f t="shared" si="3"/>
        <v>quarta-feira</v>
      </c>
      <c r="E24" s="3"/>
      <c r="F24" s="3"/>
      <c r="G24" s="3" t="s">
        <v>38</v>
      </c>
      <c r="H24" s="3"/>
      <c r="I24" s="3"/>
      <c r="J24" s="3" t="s">
        <v>110</v>
      </c>
      <c r="K24" s="3"/>
      <c r="L24" s="3"/>
      <c r="M24" s="3"/>
      <c r="N24" s="3"/>
      <c r="O24" s="3"/>
      <c r="P24" s="3"/>
      <c r="Q24" s="3"/>
      <c r="R24" s="3"/>
      <c r="S24" s="3"/>
      <c r="T24" s="3"/>
      <c r="U24" s="3"/>
      <c r="V24" s="3"/>
      <c r="W24" s="3"/>
      <c r="X24" s="3"/>
      <c r="Y24" s="3"/>
      <c r="Z24" s="3"/>
      <c r="AA24" s="3"/>
      <c r="AB24" s="3"/>
    </row>
    <row r="25" spans="1:28" x14ac:dyDescent="0.25">
      <c r="A25" s="3">
        <f t="shared" si="2"/>
        <v>21</v>
      </c>
      <c r="B25" s="1">
        <v>46296</v>
      </c>
      <c r="C25" s="2">
        <v>0.48958333333333331</v>
      </c>
      <c r="D25" s="3" t="str">
        <f t="shared" si="3"/>
        <v>quinta-feira</v>
      </c>
      <c r="E25" s="3" t="s">
        <v>111</v>
      </c>
      <c r="F25" s="3" t="s">
        <v>112</v>
      </c>
      <c r="G25" s="3" t="s">
        <v>38</v>
      </c>
      <c r="H25" s="3"/>
      <c r="I25" s="3" t="s">
        <v>41</v>
      </c>
      <c r="J25" s="3" t="s">
        <v>113</v>
      </c>
      <c r="K25" s="3"/>
      <c r="L25" s="3"/>
      <c r="M25" s="3" t="s">
        <v>51</v>
      </c>
      <c r="N25" s="1">
        <v>46085</v>
      </c>
      <c r="O25" s="3"/>
      <c r="P25" s="3"/>
      <c r="Q25" s="3"/>
      <c r="R25" s="3"/>
      <c r="S25" s="3"/>
      <c r="T25" s="3"/>
      <c r="U25" s="3"/>
      <c r="V25" s="3"/>
      <c r="W25" s="3"/>
      <c r="X25" s="3"/>
      <c r="Y25" s="3"/>
      <c r="Z25" s="3"/>
      <c r="AA25" s="3"/>
      <c r="AB25" s="3"/>
    </row>
    <row r="26" spans="1:28" x14ac:dyDescent="0.25">
      <c r="A26" s="3">
        <f t="shared" si="2"/>
        <v>22</v>
      </c>
      <c r="B26" s="8">
        <v>46302</v>
      </c>
      <c r="C26" s="9">
        <v>0.69444444444444442</v>
      </c>
      <c r="D26" s="7" t="str">
        <f t="shared" si="3"/>
        <v>quarta-feira</v>
      </c>
      <c r="E26" s="7" t="s">
        <v>114</v>
      </c>
      <c r="F26" s="7" t="s">
        <v>115</v>
      </c>
      <c r="G26" s="7" t="s">
        <v>38</v>
      </c>
      <c r="H26" s="7" t="s">
        <v>29</v>
      </c>
      <c r="I26" s="7" t="s">
        <v>116</v>
      </c>
      <c r="J26" s="7" t="s">
        <v>132</v>
      </c>
      <c r="K26" s="7"/>
      <c r="L26" s="7"/>
      <c r="M26" s="7" t="s">
        <v>117</v>
      </c>
      <c r="N26" s="7"/>
      <c r="O26" s="7"/>
      <c r="P26" s="7"/>
      <c r="Q26" s="7"/>
      <c r="R26" s="7"/>
      <c r="S26" s="7"/>
      <c r="T26" s="7"/>
      <c r="U26" s="7"/>
      <c r="V26" s="7"/>
      <c r="W26" s="7"/>
      <c r="X26" s="7"/>
      <c r="Y26" s="7"/>
      <c r="Z26" s="7"/>
      <c r="AA26" s="7"/>
      <c r="AB26" s="7"/>
    </row>
    <row r="27" spans="1:28" x14ac:dyDescent="0.25">
      <c r="A27" s="3">
        <f t="shared" si="2"/>
        <v>23</v>
      </c>
      <c r="B27" s="1">
        <v>46302</v>
      </c>
      <c r="C27" s="2">
        <v>0.875</v>
      </c>
      <c r="D27" s="3" t="str">
        <f t="shared" si="3"/>
        <v>quarta-feira</v>
      </c>
      <c r="E27" s="3" t="s">
        <v>118</v>
      </c>
      <c r="F27" s="3" t="s">
        <v>119</v>
      </c>
      <c r="G27" s="3" t="s">
        <v>28</v>
      </c>
      <c r="H27" s="3"/>
      <c r="I27" s="3"/>
      <c r="J27" s="3"/>
      <c r="K27" s="3"/>
      <c r="L27" s="3"/>
      <c r="M27" s="3"/>
      <c r="N27" s="3"/>
      <c r="O27" s="3"/>
      <c r="P27" s="3"/>
      <c r="Q27" s="3"/>
      <c r="R27" s="3"/>
      <c r="S27" s="3"/>
      <c r="T27" s="3"/>
      <c r="U27" s="3"/>
      <c r="V27" s="3"/>
      <c r="W27" s="3"/>
      <c r="X27" s="3"/>
      <c r="Y27" s="3"/>
      <c r="Z27" s="3"/>
      <c r="AA27" s="3"/>
      <c r="AB27" s="3"/>
    </row>
    <row r="28" spans="1:28" x14ac:dyDescent="0.25">
      <c r="A28" s="3">
        <f t="shared" si="2"/>
        <v>24</v>
      </c>
      <c r="B28" s="8">
        <v>46302</v>
      </c>
      <c r="C28" s="9">
        <v>0.91874999999999996</v>
      </c>
      <c r="D28" s="7" t="str">
        <f t="shared" si="3"/>
        <v>quarta-feira</v>
      </c>
      <c r="E28" s="7" t="s">
        <v>120</v>
      </c>
      <c r="F28" s="7" t="s">
        <v>121</v>
      </c>
      <c r="G28" s="7" t="s">
        <v>38</v>
      </c>
      <c r="H28" s="7" t="s">
        <v>122</v>
      </c>
      <c r="I28" s="7"/>
      <c r="J28" s="7" t="s">
        <v>123</v>
      </c>
      <c r="K28" s="3"/>
      <c r="L28" s="3"/>
      <c r="M28" s="3" t="s">
        <v>44</v>
      </c>
      <c r="N28" s="3"/>
      <c r="O28" s="3"/>
      <c r="P28" s="3"/>
      <c r="Q28" s="3"/>
      <c r="R28" s="3"/>
      <c r="S28" s="3"/>
      <c r="T28" s="3"/>
      <c r="U28" s="3"/>
      <c r="V28" s="3"/>
      <c r="W28" s="3"/>
      <c r="X28" s="3"/>
      <c r="Y28" s="3"/>
      <c r="Z28" s="3"/>
      <c r="AA28" s="3"/>
      <c r="AB28" s="3"/>
    </row>
    <row r="29" spans="1:28" x14ac:dyDescent="0.25">
      <c r="A29" s="3">
        <f t="shared" si="2"/>
        <v>25</v>
      </c>
      <c r="B29" s="8">
        <v>46302</v>
      </c>
      <c r="C29" s="9">
        <v>0.97916666666666663</v>
      </c>
      <c r="D29" s="7" t="str">
        <f t="shared" si="3"/>
        <v>quarta-feira</v>
      </c>
      <c r="E29" s="7" t="s">
        <v>124</v>
      </c>
      <c r="F29" s="7" t="s">
        <v>125</v>
      </c>
      <c r="G29" s="7" t="s">
        <v>38</v>
      </c>
      <c r="H29" s="7" t="s">
        <v>122</v>
      </c>
      <c r="I29" s="7"/>
      <c r="J29" s="7" t="s">
        <v>126</v>
      </c>
      <c r="K29" s="3"/>
      <c r="L29" s="3"/>
      <c r="M29" s="3" t="s">
        <v>44</v>
      </c>
      <c r="N29" s="3"/>
      <c r="O29" s="3"/>
      <c r="P29" s="3"/>
      <c r="Q29" s="3"/>
      <c r="R29" s="3"/>
      <c r="S29" s="3"/>
      <c r="T29" s="3"/>
      <c r="U29" s="3"/>
      <c r="V29" s="3"/>
      <c r="W29" s="3"/>
      <c r="X29" s="3"/>
      <c r="Y29" s="3"/>
      <c r="Z29" s="3"/>
      <c r="AA29" s="3"/>
      <c r="AB29" s="3"/>
    </row>
    <row r="30" spans="1:28" x14ac:dyDescent="0.25">
      <c r="A30" s="3">
        <f t="shared" si="2"/>
        <v>26</v>
      </c>
      <c r="B30" s="1">
        <v>46302</v>
      </c>
      <c r="C30" s="2">
        <v>0.29166666666666669</v>
      </c>
      <c r="D30" s="3" t="str">
        <f>TEXT(B30,"dddd")</f>
        <v>quarta-feira</v>
      </c>
      <c r="E30" s="3" t="s">
        <v>127</v>
      </c>
      <c r="F30" s="3"/>
      <c r="G30" s="3" t="s">
        <v>38</v>
      </c>
      <c r="H30" s="3"/>
      <c r="I30" s="3"/>
      <c r="J30" s="3"/>
      <c r="K30" s="3"/>
      <c r="L30" s="3"/>
      <c r="M30" s="3"/>
      <c r="N30" s="3"/>
      <c r="O30" s="3"/>
      <c r="P30" s="3"/>
      <c r="Q30" s="3"/>
      <c r="R30" s="3"/>
      <c r="S30" s="3"/>
      <c r="T30" s="3"/>
      <c r="U30" s="3"/>
      <c r="V30" s="3"/>
      <c r="W30" s="3"/>
      <c r="X30" s="3"/>
      <c r="Y30" s="3"/>
      <c r="Z30" s="3"/>
      <c r="AA30" s="3"/>
      <c r="AB30" s="3"/>
    </row>
    <row r="31" spans="1:28" x14ac:dyDescent="0.25">
      <c r="A31" s="3">
        <f t="shared" si="2"/>
        <v>27</v>
      </c>
      <c r="B31" s="1">
        <v>46306</v>
      </c>
      <c r="C31" s="2">
        <v>0.125</v>
      </c>
      <c r="D31" s="3" t="str">
        <f>TEXT(B31,"dddd")</f>
        <v>domingo</v>
      </c>
      <c r="E31" s="3" t="s">
        <v>128</v>
      </c>
      <c r="F31" s="3" t="s">
        <v>129</v>
      </c>
      <c r="G31" s="3" t="s">
        <v>38</v>
      </c>
      <c r="H31" s="3" t="s">
        <v>33</v>
      </c>
      <c r="I31" s="3"/>
      <c r="J31" s="3" t="s">
        <v>130</v>
      </c>
      <c r="K31" s="3"/>
      <c r="L31" s="3"/>
      <c r="M31" s="3" t="s">
        <v>44</v>
      </c>
      <c r="N31" s="1">
        <v>45034</v>
      </c>
      <c r="O31" s="3"/>
      <c r="P31" s="3"/>
      <c r="Q31" s="3"/>
      <c r="R31" s="3"/>
      <c r="S31" s="3"/>
      <c r="T31" s="3"/>
      <c r="U31" s="3"/>
      <c r="V31" s="3"/>
      <c r="W31" s="3"/>
      <c r="X31" s="3"/>
      <c r="Y31" s="3"/>
      <c r="Z31" s="3"/>
      <c r="AA31" s="3"/>
      <c r="AB31" s="3"/>
    </row>
  </sheetData>
  <autoFilter ref="A1:AB1" xr:uid="{5E11F0CC-D233-4E72-95F4-BF3063E8977C}"/>
  <pageMargins left="0.511811024" right="0.511811024" top="0.78740157499999996" bottom="0.78740157499999996" header="0.31496062000000002" footer="0.31496062000000002"/>
  <legacyDrawing r:id="rId1"/>
  <tableParts count="1">
    <tablePart r:id="rId2"/>
  </tableParts>
</worksheet>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Alyson  Antonio</dc:creator>
  <cp:lastModifiedBy>Alyson  Antonio</cp:lastModifiedBy>
  <dcterms:created xsi:type="dcterms:W3CDTF">2026-10-15T21:11:09Z</dcterms:created>
  <dcterms:modified xsi:type="dcterms:W3CDTF">2026-10-15T21:15:28Z</dcterms:modified>
</cp:coreProperties>
</file>